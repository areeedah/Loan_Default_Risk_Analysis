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74b7c7d95ebaf04/Desktop/GalVSCode/LoanDefaultRiskAnalyser/"/>
    </mc:Choice>
  </mc:AlternateContent>
  <xr:revisionPtr revIDLastSave="1" documentId="11_A79BB240CBEE00EDE0D59D55B9DB4C33CD82FE7D" xr6:coauthVersionLast="47" xr6:coauthVersionMax="47" xr10:uidLastSave="{D57361DB-AA13-4A67-9F99-EB5772729912}"/>
  <bookViews>
    <workbookView xWindow="-108" yWindow="-108" windowWidth="23256" windowHeight="12456" xr2:uid="{00000000-000D-0000-FFFF-FFFF00000000}"/>
  </bookViews>
  <sheets>
    <sheet name="Dashboard" sheetId="8" r:id="rId1"/>
    <sheet name="Vintage_Grade_Cohort" sheetId="1" r:id="rId2"/>
    <sheet name="Grade_Analysis" sheetId="2" r:id="rId3"/>
    <sheet name="Term_Analysis" sheetId="3" r:id="rId4"/>
    <sheet name="Vintage_Analysis" sheetId="4" r:id="rId5"/>
    <sheet name="Income_Analysis" sheetId="5" r:id="rId6"/>
    <sheet name="DTI_Analysis" sheetId="6" r:id="rId7"/>
    <sheet name="Risk_Tiers" sheetId="7" r:id="rId8"/>
  </sheets>
  <calcPr calcId="191029"/>
  <pivotCaches>
    <pivotCache cacheId="3" r:id="rId9"/>
    <pivotCache cacheId="6" r:id="rId10"/>
    <pivotCache cacheId="12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<sst xmlns="http://schemas.openxmlformats.org/spreadsheetml/2006/main" count="174" uniqueCount="49">
  <si>
    <t>vintage_year</t>
  </si>
  <si>
    <t>grade</t>
  </si>
  <si>
    <t>total_loans</t>
  </si>
  <si>
    <t>defaults</t>
  </si>
  <si>
    <t>default_rate</t>
  </si>
  <si>
    <t>A</t>
  </si>
  <si>
    <t>B</t>
  </si>
  <si>
    <t>C</t>
  </si>
  <si>
    <t>D</t>
  </si>
  <si>
    <t>E</t>
  </si>
  <si>
    <t>F</t>
  </si>
  <si>
    <t>G</t>
  </si>
  <si>
    <t>term_months</t>
  </si>
  <si>
    <t>income_segment</t>
  </si>
  <si>
    <t>High</t>
  </si>
  <si>
    <t>Low</t>
  </si>
  <si>
    <t>Medium</t>
  </si>
  <si>
    <t>Very High</t>
  </si>
  <si>
    <t>dti_bucket</t>
  </si>
  <si>
    <t>High DTI</t>
  </si>
  <si>
    <t>Low DTI</t>
  </si>
  <si>
    <t>Medium DTI</t>
  </si>
  <si>
    <t>Very High DTI</t>
  </si>
  <si>
    <t>risk_tier</t>
  </si>
  <si>
    <t>Low Risk</t>
  </si>
  <si>
    <t>Moderate Risk</t>
  </si>
  <si>
    <t>High Risk</t>
  </si>
  <si>
    <t>Very High Risk</t>
  </si>
  <si>
    <t>KPIs</t>
  </si>
  <si>
    <t>Value</t>
  </si>
  <si>
    <t>Total Loans</t>
  </si>
  <si>
    <t>Total Defaults</t>
  </si>
  <si>
    <t>Overall Default rates</t>
  </si>
  <si>
    <t>Dashboard</t>
  </si>
  <si>
    <t>Grand Total</t>
  </si>
  <si>
    <t>Sum of defaults</t>
  </si>
  <si>
    <t>Sum of default_rate</t>
  </si>
  <si>
    <t>KPI Table</t>
  </si>
  <si>
    <t>Default Rate by Grade</t>
  </si>
  <si>
    <t>Term Analysis</t>
  </si>
  <si>
    <t>Vintage Year Anlysis</t>
  </si>
  <si>
    <t>Tables</t>
  </si>
  <si>
    <t>Grade</t>
  </si>
  <si>
    <t>Sum of Total Loans</t>
  </si>
  <si>
    <t>Sum of Default Rates</t>
  </si>
  <si>
    <t>Sum of Term Months</t>
  </si>
  <si>
    <t>Sum of default rate</t>
  </si>
  <si>
    <t>Sum of vintage year</t>
  </si>
  <si>
    <t>Sum of total loans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</si>
</sst>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0" xfId="1" applyNumberFormat="1" applyFont="1"/>
    <xf numFmtId="0" fontId="5" fillId="2" borderId="8" xfId="1" applyNumberFormat="1" applyFont="1" applyFill="1" applyBorder="1" applyAlignment="1">
      <alignment horizontal="center"/>
    </xf>
    <xf numFmtId="0" fontId="5" fillId="2" borderId="9" xfId="1" applyNumberFormat="1" applyFont="1" applyFill="1" applyBorder="1" applyAlignment="1">
      <alignment horizontal="center"/>
    </xf>
    <xf numFmtId="0" fontId="5" fillId="2" borderId="10" xfId="1" applyNumberFormat="1" applyFont="1" applyFill="1" applyBorder="1" applyAlignment="1">
      <alignment horizontal="center"/>
    </xf>
    <xf numFmtId="0" fontId="4" fillId="3" borderId="3" xfId="1" applyNumberFormat="1" applyFont="1" applyFill="1" applyBorder="1"/>
    <xf numFmtId="0" fontId="4" fillId="4" borderId="2" xfId="1" applyNumberFormat="1" applyFont="1" applyFill="1" applyBorder="1"/>
    <xf numFmtId="0" fontId="3" fillId="3" borderId="4" xfId="1" applyNumberFormat="1" applyFont="1" applyFill="1" applyBorder="1"/>
    <xf numFmtId="0" fontId="3" fillId="3" borderId="6" xfId="1" applyNumberFormat="1" applyFont="1" applyFill="1" applyBorder="1"/>
    <xf numFmtId="0" fontId="0" fillId="0" borderId="0" xfId="0" applyNumberFormat="1"/>
    <xf numFmtId="0" fontId="6" fillId="0" borderId="8" xfId="1" applyNumberFormat="1" applyFont="1" applyBorder="1" applyAlignment="1">
      <alignment horizontal="center"/>
    </xf>
    <xf numFmtId="0" fontId="6" fillId="0" borderId="10" xfId="1" applyNumberFormat="1" applyFont="1" applyBorder="1" applyAlignment="1">
      <alignment horizontal="center"/>
    </xf>
    <xf numFmtId="0" fontId="2" fillId="0" borderId="5" xfId="1" applyNumberFormat="1" applyFont="1" applyBorder="1"/>
    <xf numFmtId="0" fontId="2" fillId="0" borderId="7" xfId="0" applyFont="1" applyBorder="1"/>
    <xf numFmtId="0" fontId="6" fillId="0" borderId="11" xfId="1" applyNumberFormat="1" applyFont="1" applyBorder="1" applyAlignment="1">
      <alignment horizontal="center"/>
    </xf>
    <xf numFmtId="0" fontId="6" fillId="0" borderId="12" xfId="1" applyNumberFormat="1" applyFont="1" applyBorder="1" applyAlignment="1">
      <alignment horizontal="center"/>
    </xf>
    <xf numFmtId="0" fontId="6" fillId="0" borderId="13" xfId="1" applyNumberFormat="1" applyFont="1" applyBorder="1" applyAlignment="1">
      <alignment horizontal="center"/>
    </xf>
    <xf numFmtId="0" fontId="3" fillId="0" borderId="1" xfId="0" pivotButton="1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NumberFormat="1" applyFont="1" applyBorder="1"/>
    <xf numFmtId="0" fontId="3" fillId="0" borderId="14" xfId="0" applyFont="1" applyBorder="1"/>
    <xf numFmtId="0" fontId="6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5" fillId="0" borderId="0" xfId="1" applyNumberFormat="1" applyFont="1" applyFill="1" applyBorder="1" applyAlignment="1"/>
    <xf numFmtId="0" fontId="8" fillId="5" borderId="8" xfId="1" applyNumberFormat="1" applyFont="1" applyFill="1" applyBorder="1" applyAlignment="1">
      <alignment horizontal="center"/>
    </xf>
    <xf numFmtId="0" fontId="8" fillId="5" borderId="9" xfId="1" applyNumberFormat="1" applyFont="1" applyFill="1" applyBorder="1" applyAlignment="1">
      <alignment horizontal="center"/>
    </xf>
    <xf numFmtId="0" fontId="8" fillId="5" borderId="10" xfId="1" applyNumberFormat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15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3.721395486114" createdVersion="8" refreshedVersion="8" minRefreshableVersion="3" recordCount="7" xr:uid="{E3503747-A37A-40FD-BC90-3174E1180F1E}">
  <cacheSource type="worksheet">
    <worksheetSource ref="A1:D8" sheet="Grade_Analysis"/>
  </cacheSource>
  <cacheFields count="4">
    <cacheField name="grade" numFmtId="0">
      <sharedItems count="7">
        <s v="A"/>
        <s v="B"/>
        <s v="C"/>
        <s v="D"/>
        <s v="E"/>
        <s v="F"/>
        <s v="G"/>
      </sharedItems>
    </cacheField>
    <cacheField name="total_loans" numFmtId="0">
      <sharedItems containsSemiMixedTypes="0" containsString="0" containsNumber="1" containsInteger="1" minValue="12168" maxValue="663557"/>
    </cacheField>
    <cacheField name="defaults" numFmtId="0">
      <sharedItems containsSemiMixedTypes="0" containsString="0" containsNumber="1" containsInteger="1" minValue="4482" maxValue="83271"/>
    </cacheField>
    <cacheField name="default_rate" numFmtId="0">
      <sharedItems containsSemiMixedTypes="0" containsString="0" containsNumber="1" minValue="3.18" maxValue="36.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3.722861574075" createdVersion="8" refreshedVersion="8" minRefreshableVersion="3" recordCount="2" xr:uid="{7298C78C-BB9B-4057-AD7A-4D85B083D52C}">
  <cacheSource type="worksheet">
    <worksheetSource ref="A1:D3" sheet="Term_Analysis"/>
  </cacheSource>
  <cacheFields count="4">
    <cacheField name="term_months" numFmtId="0">
      <sharedItems containsSemiMixedTypes="0" containsString="0" containsNumber="1" containsInteger="1" minValue="36" maxValue="60"/>
    </cacheField>
    <cacheField name="total_loans" numFmtId="0">
      <sharedItems containsSemiMixedTypes="0" containsString="0" containsNumber="1" containsInteger="1" minValue="650914" maxValue="1609754"/>
    </cacheField>
    <cacheField name="defaults" numFmtId="0">
      <sharedItems containsSemiMixedTypes="0" containsString="0" containsNumber="1" containsInteger="1" minValue="102517" maxValue="159169"/>
    </cacheField>
    <cacheField name="default_rate" numFmtId="0">
      <sharedItems containsSemiMixedTypes="0" containsString="0" containsNumber="1" minValue="9.89" maxValue="15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3.724030671299" createdVersion="8" refreshedVersion="8" minRefreshableVersion="3" recordCount="12" xr:uid="{928823E1-868B-4808-BD78-4D747E443FAE}">
  <cacheSource type="worksheet">
    <worksheetSource ref="A1:D13" sheet="Vintage_Analysis"/>
  </cacheSource>
  <cacheFields count="4">
    <cacheField name="vintage_year" numFmtId="0">
      <sharedItems containsSemiMixedTypes="0" containsString="0" containsNumber="1" containsInteger="1" minValue="2007" maxValue="2018"/>
    </cacheField>
    <cacheField name="total_loans" numFmtId="0">
      <sharedItems containsSemiMixedTypes="0" containsString="0" containsNumber="1" containsInteger="1" minValue="603" maxValue="495242"/>
    </cacheField>
    <cacheField name="defaults" numFmtId="0">
      <sharedItems containsSemiMixedTypes="0" containsString="0" containsNumber="1" containsInteger="1" minValue="45" maxValue="75275"/>
    </cacheField>
    <cacheField name="default_rate" numFmtId="0">
      <sharedItems containsSemiMixedTypes="0" containsString="0" containsNumber="1" minValue="1.4" maxValue="17.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433027"/>
    <n v="13768"/>
    <n v="3.18"/>
  </r>
  <r>
    <x v="1"/>
    <n v="663557"/>
    <n v="51083"/>
    <n v="7.7"/>
  </r>
  <r>
    <x v="2"/>
    <n v="650053"/>
    <n v="83271"/>
    <n v="12.81"/>
  </r>
  <r>
    <x v="3"/>
    <n v="324424"/>
    <n v="59449"/>
    <n v="18.32"/>
  </r>
  <r>
    <x v="4"/>
    <n v="135639"/>
    <n v="35368"/>
    <n v="26.08"/>
  </r>
  <r>
    <x v="5"/>
    <n v="41800"/>
    <n v="14265"/>
    <n v="34.130000000000003"/>
  </r>
  <r>
    <x v="6"/>
    <n v="12168"/>
    <n v="4482"/>
    <n v="36.8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36"/>
    <n v="1609754"/>
    <n v="159169"/>
    <n v="9.89"/>
  </r>
  <r>
    <n v="60"/>
    <n v="650914"/>
    <n v="102517"/>
    <n v="15.7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2007"/>
    <n v="603"/>
    <n v="45"/>
    <n v="7.46"/>
  </r>
  <r>
    <n v="2008"/>
    <n v="2393"/>
    <n v="247"/>
    <n v="10.32"/>
  </r>
  <r>
    <n v="2009"/>
    <n v="5281"/>
    <n v="594"/>
    <n v="11.25"/>
  </r>
  <r>
    <n v="2010"/>
    <n v="12537"/>
    <n v="1487"/>
    <n v="11.86"/>
  </r>
  <r>
    <n v="2011"/>
    <n v="21721"/>
    <n v="3297"/>
    <n v="15.18"/>
  </r>
  <r>
    <n v="2012"/>
    <n v="53367"/>
    <n v="8644"/>
    <n v="16.2"/>
  </r>
  <r>
    <n v="2013"/>
    <n v="134814"/>
    <n v="21022"/>
    <n v="15.59"/>
  </r>
  <r>
    <n v="2014"/>
    <n v="235629"/>
    <n v="41056"/>
    <n v="17.420000000000002"/>
  </r>
  <r>
    <n v="2015"/>
    <n v="421095"/>
    <n v="75275"/>
    <n v="17.88"/>
  </r>
  <r>
    <n v="2016"/>
    <n v="434407"/>
    <n v="66679"/>
    <n v="15.35"/>
  </r>
  <r>
    <n v="2017"/>
    <n v="443579"/>
    <n v="36389"/>
    <n v="8.1999999999999993"/>
  </r>
  <r>
    <n v="2018"/>
    <n v="495242"/>
    <n v="6951"/>
    <n v="1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F06F89-3723-4257-B33D-6E192660ABC2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K10:N11" firstHeaderRow="0" firstDataRow="1" firstDataCol="0"/>
  <pivotFields count="4">
    <pivotField dataField="1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vintage year" fld="0" baseField="0" baseItem="0"/>
    <dataField name="Sum of total loans" fld="1" baseField="0" baseItem="0"/>
    <dataField name="Sum of defaults" fld="2" baseField="0" baseItem="0"/>
    <dataField name="Sum of default_rate" fld="3" baseField="0" baseItem="0"/>
  </dataFields>
  <formats count="9">
    <format dxfId="125">
      <pivotArea type="all" dataOnly="0" outline="0" fieldPosition="0"/>
    </format>
    <format dxfId="124">
      <pivotArea outline="0" collapsedLevelsAreSubtotals="1" fieldPosition="0"/>
    </format>
    <format dxfId="12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22">
      <pivotArea type="all" dataOnly="0" outline="0" fieldPosition="0"/>
    </format>
    <format dxfId="121">
      <pivotArea outline="0" collapsedLevelsAreSubtotals="1" fieldPosition="0"/>
    </format>
    <format dxfId="12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19">
      <pivotArea type="all" dataOnly="0" outline="0" fieldPosition="0"/>
    </format>
    <format dxfId="118">
      <pivotArea outline="0" collapsedLevelsAreSubtotals="1" fieldPosition="0"/>
    </format>
    <format dxfId="11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8160D0-68C9-4E91-BA5A-DBE18AB13557}" name="PivotTable4" cacheId="1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">
  <location ref="C12" firstHeaderRow="0" firstDataRow="0" firstDataCol="0"/>
  <pivotFields count="4">
    <pivotField dataField="1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vintage_year" fld="0" baseField="0" baseItem="0"/>
    <dataField name="Sum of total_loans" fld="1" baseField="0" baseItem="0"/>
    <dataField name="Sum of defaults" fld="2" baseField="0" baseItem="0"/>
    <dataField name="Sum of default_rate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1FE491-6A95-4206-B112-F594C694AC83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K6:N7" firstHeaderRow="0" firstDataRow="1" firstDataCol="0"/>
  <pivotFields count="4">
    <pivotField dataField="1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erm Months" fld="0" baseField="0" baseItem="0"/>
    <dataField name="Sum of Total Loans" fld="1" baseField="0" baseItem="0"/>
    <dataField name="Sum of defaults" fld="2" baseField="0" baseItem="0"/>
    <dataField name="Sum of default rate" fld="3" baseField="0" baseItem="0"/>
  </dataFields>
  <formats count="9">
    <format dxfId="152">
      <pivotArea type="all" dataOnly="0" outline="0" fieldPosition="0"/>
    </format>
    <format dxfId="151">
      <pivotArea outline="0" collapsedLevelsAreSubtotals="1" fieldPosition="0"/>
    </format>
    <format dxfId="15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37">
      <pivotArea type="all" dataOnly="0" outline="0" fieldPosition="0"/>
    </format>
    <format dxfId="136">
      <pivotArea outline="0" collapsedLevelsAreSubtotals="1" fieldPosition="0"/>
    </format>
    <format dxfId="13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28">
      <pivotArea type="all" dataOnly="0" outline="0" fieldPosition="0"/>
    </format>
    <format dxfId="127">
      <pivotArea outline="0" collapsedLevelsAreSubtotals="1" fieldPosition="0"/>
    </format>
    <format dxfId="12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DC9173-1B9B-439C-A964-9339B2199F3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Grade">
  <location ref="F6:I14" firstHeaderRow="0" firstDataRow="1" firstDataCol="1"/>
  <pivotFields count="4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Loans" fld="1" baseField="0" baseItem="0"/>
    <dataField name="Sum of defaults" fld="2" baseField="0" baseItem="0"/>
    <dataField name="Sum of Default Rates" fld="3" baseField="0" baseItem="0"/>
  </dataFields>
  <formats count="18">
    <format dxfId="149">
      <pivotArea type="all" dataOnly="0" outline="0" fieldPosition="0"/>
    </format>
    <format dxfId="148">
      <pivotArea outline="0" collapsedLevelsAreSubtotals="1" fieldPosition="0"/>
    </format>
    <format dxfId="147">
      <pivotArea field="0" type="button" dataOnly="0" labelOnly="1" outline="0" axis="axisRow" fieldPosition="0"/>
    </format>
    <format dxfId="146">
      <pivotArea dataOnly="0" labelOnly="1" fieldPosition="0">
        <references count="1">
          <reference field="0" count="0"/>
        </references>
      </pivotArea>
    </format>
    <format dxfId="145">
      <pivotArea dataOnly="0" labelOnly="1" grandRow="1" outline="0" fieldPosition="0"/>
    </format>
    <format dxfId="14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3">
      <pivotArea type="all" dataOnly="0" outline="0" fieldPosition="0"/>
    </format>
    <format dxfId="142">
      <pivotArea outline="0" collapsedLevelsAreSubtotals="1" fieldPosition="0"/>
    </format>
    <format dxfId="141">
      <pivotArea field="0" type="button" dataOnly="0" labelOnly="1" outline="0" axis="axisRow" fieldPosition="0"/>
    </format>
    <format dxfId="140">
      <pivotArea dataOnly="0" labelOnly="1" fieldPosition="0">
        <references count="1">
          <reference field="0" count="0"/>
        </references>
      </pivotArea>
    </format>
    <format dxfId="139">
      <pivotArea dataOnly="0" labelOnly="1" grandRow="1" outline="0" fieldPosition="0"/>
    </format>
    <format dxfId="13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4">
      <pivotArea type="all" dataOnly="0" outline="0" fieldPosition="0"/>
    </format>
    <format dxfId="133">
      <pivotArea outline="0" collapsedLevelsAreSubtotals="1" fieldPosition="0"/>
    </format>
    <format dxfId="132">
      <pivotArea field="0" type="button" dataOnly="0" labelOnly="1" outline="0" axis="axisRow" fieldPosition="0"/>
    </format>
    <format dxfId="131">
      <pivotArea dataOnly="0" labelOnly="1" fieldPosition="0">
        <references count="1">
          <reference field="0" count="0"/>
        </references>
      </pivotArea>
    </format>
    <format dxfId="130">
      <pivotArea dataOnly="0" labelOnly="1" grandRow="1" outline="0" fieldPosition="0"/>
    </format>
    <format dxfId="12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52142-E19A-4261-BD17-853FCF27ACF4}">
  <dimension ref="C1:N27"/>
  <sheetViews>
    <sheetView tabSelected="1" zoomScale="74" workbookViewId="0">
      <selection activeCell="E16" sqref="E16"/>
    </sheetView>
  </sheetViews>
  <sheetFormatPr defaultRowHeight="15.6" x14ac:dyDescent="0.3"/>
  <cols>
    <col min="1" max="2" width="8.88671875" style="2"/>
    <col min="3" max="3" width="18.5546875" style="2" bestFit="1" customWidth="1"/>
    <col min="4" max="4" width="16.88671875" style="2" bestFit="1" customWidth="1"/>
    <col min="5" max="5" width="14.33203125" style="2" bestFit="1" customWidth="1"/>
    <col min="6" max="6" width="7.44140625" style="2" customWidth="1"/>
    <col min="7" max="7" width="20" style="2" customWidth="1"/>
    <col min="8" max="8" width="15.88671875" style="2" customWidth="1"/>
    <col min="9" max="9" width="22.109375" style="2" customWidth="1"/>
    <col min="10" max="10" width="8.88671875" style="2" customWidth="1"/>
    <col min="11" max="11" width="22.44140625" style="2" customWidth="1"/>
    <col min="12" max="12" width="19.44140625" style="2" customWidth="1"/>
    <col min="13" max="13" width="16.6640625" style="2" customWidth="1"/>
    <col min="14" max="14" width="19.88671875" style="2" customWidth="1"/>
    <col min="15" max="16384" width="8.88671875" style="2"/>
  </cols>
  <sheetData>
    <row r="1" spans="3:14" ht="16.2" thickBot="1" x14ac:dyDescent="0.35"/>
    <row r="2" spans="3:14" ht="21" thickBot="1" x14ac:dyDescent="0.4">
      <c r="C2" s="3" t="s">
        <v>33</v>
      </c>
      <c r="D2" s="4"/>
      <c r="E2" s="4"/>
      <c r="F2" s="4"/>
      <c r="G2" s="4"/>
      <c r="H2" s="4"/>
      <c r="I2" s="4"/>
      <c r="J2" s="4"/>
      <c r="K2" s="4"/>
      <c r="L2" s="4"/>
      <c r="M2" s="4"/>
      <c r="N2" s="5"/>
    </row>
    <row r="3" spans="3:14" ht="21" thickBot="1" x14ac:dyDescent="0.4">
      <c r="C3" s="26"/>
      <c r="D3" s="27" t="s">
        <v>41</v>
      </c>
      <c r="E3" s="28"/>
      <c r="F3" s="28"/>
      <c r="G3" s="28"/>
      <c r="H3" s="28"/>
      <c r="I3" s="28"/>
      <c r="J3" s="28"/>
      <c r="K3" s="28"/>
      <c r="L3" s="28"/>
      <c r="M3" s="29"/>
      <c r="N3" s="26"/>
    </row>
    <row r="4" spans="3:14" ht="16.8" customHeight="1" thickBot="1" x14ac:dyDescent="0.35"/>
    <row r="5" spans="3:14" ht="16.2" thickBot="1" x14ac:dyDescent="0.35">
      <c r="C5" s="11" t="s">
        <v>37</v>
      </c>
      <c r="D5" s="12"/>
      <c r="F5" s="15" t="s">
        <v>38</v>
      </c>
      <c r="G5" s="16"/>
      <c r="H5" s="16"/>
      <c r="I5" s="17"/>
      <c r="K5" s="15" t="s">
        <v>39</v>
      </c>
      <c r="L5" s="16"/>
      <c r="M5" s="16"/>
      <c r="N5" s="17"/>
    </row>
    <row r="6" spans="3:14" ht="18" x14ac:dyDescent="0.35">
      <c r="C6" s="7" t="s">
        <v>28</v>
      </c>
      <c r="D6" s="6" t="s">
        <v>29</v>
      </c>
      <c r="F6" s="18" t="s">
        <v>42</v>
      </c>
      <c r="G6" s="19" t="s">
        <v>43</v>
      </c>
      <c r="H6" s="19" t="s">
        <v>35</v>
      </c>
      <c r="I6" s="19" t="s">
        <v>44</v>
      </c>
      <c r="K6" s="19" t="s">
        <v>45</v>
      </c>
      <c r="L6" s="19" t="s">
        <v>43</v>
      </c>
      <c r="M6" s="19" t="s">
        <v>35</v>
      </c>
      <c r="N6" s="19" t="s">
        <v>46</v>
      </c>
    </row>
    <row r="7" spans="3:14" x14ac:dyDescent="0.3">
      <c r="C7" s="8" t="s">
        <v>30</v>
      </c>
      <c r="D7" s="13">
        <v>2260668</v>
      </c>
      <c r="F7" s="20" t="s">
        <v>5</v>
      </c>
      <c r="G7" s="21">
        <v>433027</v>
      </c>
      <c r="H7" s="21">
        <v>13768</v>
      </c>
      <c r="I7" s="21">
        <v>3.18</v>
      </c>
      <c r="K7" s="21">
        <v>96</v>
      </c>
      <c r="L7" s="21">
        <v>2260668</v>
      </c>
      <c r="M7" s="21">
        <v>261686</v>
      </c>
      <c r="N7" s="21">
        <v>25.64</v>
      </c>
    </row>
    <row r="8" spans="3:14" ht="16.2" thickBot="1" x14ac:dyDescent="0.35">
      <c r="C8" s="8" t="s">
        <v>31</v>
      </c>
      <c r="D8" s="13">
        <v>261686</v>
      </c>
      <c r="F8" s="20" t="s">
        <v>6</v>
      </c>
      <c r="G8" s="21">
        <v>663557</v>
      </c>
      <c r="H8" s="21">
        <v>51083</v>
      </c>
      <c r="I8" s="21">
        <v>7.7</v>
      </c>
      <c r="K8" s="1"/>
      <c r="L8" s="1"/>
      <c r="M8" s="1"/>
    </row>
    <row r="9" spans="3:14" ht="16.2" thickBot="1" x14ac:dyDescent="0.35">
      <c r="C9" s="9" t="s">
        <v>32</v>
      </c>
      <c r="D9" s="14">
        <v>11.57</v>
      </c>
      <c r="F9" s="20" t="s">
        <v>7</v>
      </c>
      <c r="G9" s="21">
        <v>650053</v>
      </c>
      <c r="H9" s="21">
        <v>83271</v>
      </c>
      <c r="I9" s="21">
        <v>12.81</v>
      </c>
      <c r="K9" s="23" t="s">
        <v>40</v>
      </c>
      <c r="L9" s="24"/>
      <c r="M9" s="24"/>
      <c r="N9" s="25"/>
    </row>
    <row r="10" spans="3:14" x14ac:dyDescent="0.3">
      <c r="F10" s="20" t="s">
        <v>8</v>
      </c>
      <c r="G10" s="21">
        <v>324424</v>
      </c>
      <c r="H10" s="21">
        <v>59449</v>
      </c>
      <c r="I10" s="21">
        <v>18.32</v>
      </c>
      <c r="K10" s="22" t="s">
        <v>47</v>
      </c>
      <c r="L10" s="22" t="s">
        <v>48</v>
      </c>
      <c r="M10" s="22" t="s">
        <v>35</v>
      </c>
      <c r="N10" s="22" t="s">
        <v>36</v>
      </c>
    </row>
    <row r="11" spans="3:14" x14ac:dyDescent="0.3">
      <c r="D11"/>
      <c r="E11"/>
      <c r="F11" s="20" t="s">
        <v>9</v>
      </c>
      <c r="G11" s="21">
        <v>135639</v>
      </c>
      <c r="H11" s="21">
        <v>35368</v>
      </c>
      <c r="I11" s="21">
        <v>26.08</v>
      </c>
      <c r="K11" s="21">
        <v>24150</v>
      </c>
      <c r="L11" s="21">
        <v>2260668</v>
      </c>
      <c r="M11" s="21">
        <v>261686</v>
      </c>
      <c r="N11" s="21">
        <v>148.10999999999999</v>
      </c>
    </row>
    <row r="12" spans="3:14" x14ac:dyDescent="0.3">
      <c r="C12" s="10"/>
      <c r="D12"/>
      <c r="E12"/>
      <c r="F12" s="20" t="s">
        <v>10</v>
      </c>
      <c r="G12" s="21">
        <v>41800</v>
      </c>
      <c r="H12" s="21">
        <v>14265</v>
      </c>
      <c r="I12" s="21">
        <v>34.130000000000003</v>
      </c>
      <c r="K12"/>
      <c r="L12"/>
      <c r="M12"/>
    </row>
    <row r="13" spans="3:14" x14ac:dyDescent="0.3">
      <c r="C13"/>
      <c r="D13"/>
      <c r="E13"/>
      <c r="F13" s="20" t="s">
        <v>11</v>
      </c>
      <c r="G13" s="21">
        <v>12168</v>
      </c>
      <c r="H13" s="21">
        <v>4482</v>
      </c>
      <c r="I13" s="21">
        <v>36.83</v>
      </c>
      <c r="K13"/>
      <c r="L13"/>
      <c r="M13"/>
    </row>
    <row r="14" spans="3:14" x14ac:dyDescent="0.3">
      <c r="C14"/>
      <c r="D14"/>
      <c r="E14"/>
      <c r="F14" s="20" t="s">
        <v>34</v>
      </c>
      <c r="G14" s="21">
        <v>2260668</v>
      </c>
      <c r="H14" s="21">
        <v>261686</v>
      </c>
      <c r="I14" s="21">
        <v>139.05000000000001</v>
      </c>
      <c r="K14"/>
      <c r="L14"/>
      <c r="M14"/>
    </row>
    <row r="15" spans="3:14" x14ac:dyDescent="0.3">
      <c r="C15"/>
      <c r="D15"/>
      <c r="E15"/>
      <c r="F15" s="1"/>
      <c r="G15" s="1"/>
      <c r="H15" s="1"/>
      <c r="K15"/>
      <c r="L15"/>
      <c r="M15"/>
    </row>
    <row r="16" spans="3:14" x14ac:dyDescent="0.3">
      <c r="C16"/>
      <c r="D16"/>
      <c r="E16"/>
      <c r="F16" s="1"/>
      <c r="G16" s="1"/>
      <c r="H16" s="1"/>
      <c r="K16"/>
      <c r="L16"/>
      <c r="M16"/>
    </row>
    <row r="17" spans="3:13" x14ac:dyDescent="0.3">
      <c r="C17"/>
      <c r="D17"/>
      <c r="E17"/>
      <c r="F17" s="1"/>
      <c r="G17" s="1"/>
      <c r="H17" s="1"/>
      <c r="K17"/>
      <c r="L17"/>
      <c r="M17"/>
    </row>
    <row r="18" spans="3:13" x14ac:dyDescent="0.3">
      <c r="C18"/>
      <c r="D18"/>
      <c r="E18"/>
      <c r="F18" s="1"/>
      <c r="G18" s="1"/>
      <c r="H18" s="1"/>
      <c r="K18"/>
      <c r="L18"/>
      <c r="M18"/>
    </row>
    <row r="19" spans="3:13" x14ac:dyDescent="0.3">
      <c r="C19"/>
      <c r="D19"/>
      <c r="E19"/>
      <c r="F19" s="1"/>
      <c r="G19" s="1"/>
      <c r="H19" s="1"/>
      <c r="K19"/>
      <c r="L19"/>
      <c r="M19"/>
    </row>
    <row r="20" spans="3:13" x14ac:dyDescent="0.3">
      <c r="C20"/>
      <c r="D20"/>
      <c r="E20"/>
      <c r="F20" s="1"/>
      <c r="G20" s="1"/>
      <c r="H20" s="1"/>
      <c r="K20"/>
      <c r="L20"/>
      <c r="M20"/>
    </row>
    <row r="21" spans="3:13" x14ac:dyDescent="0.3">
      <c r="C21"/>
      <c r="D21"/>
      <c r="E21"/>
      <c r="F21" s="1"/>
      <c r="G21" s="1"/>
      <c r="H21" s="1"/>
      <c r="K21"/>
      <c r="L21"/>
      <c r="M21"/>
    </row>
    <row r="22" spans="3:13" x14ac:dyDescent="0.3">
      <c r="C22"/>
      <c r="D22"/>
      <c r="E22"/>
      <c r="K22"/>
      <c r="L22"/>
      <c r="M22"/>
    </row>
    <row r="23" spans="3:13" x14ac:dyDescent="0.3">
      <c r="C23"/>
      <c r="D23"/>
      <c r="E23"/>
      <c r="K23"/>
      <c r="L23"/>
      <c r="M23"/>
    </row>
    <row r="24" spans="3:13" x14ac:dyDescent="0.3">
      <c r="C24"/>
      <c r="D24"/>
      <c r="E24"/>
      <c r="K24"/>
      <c r="L24"/>
      <c r="M24"/>
    </row>
    <row r="25" spans="3:13" x14ac:dyDescent="0.3">
      <c r="C25"/>
      <c r="D25"/>
      <c r="E25"/>
      <c r="K25"/>
      <c r="L25"/>
      <c r="M25"/>
    </row>
    <row r="26" spans="3:13" x14ac:dyDescent="0.3">
      <c r="C26"/>
      <c r="D26"/>
      <c r="E26"/>
      <c r="K26"/>
      <c r="L26"/>
      <c r="M26"/>
    </row>
    <row r="27" spans="3:13" x14ac:dyDescent="0.3">
      <c r="C27"/>
      <c r="D27"/>
      <c r="E27"/>
    </row>
  </sheetData>
  <mergeCells count="6">
    <mergeCell ref="C5:D5"/>
    <mergeCell ref="F5:I5"/>
    <mergeCell ref="K5:N5"/>
    <mergeCell ref="K9:N9"/>
    <mergeCell ref="C2:N2"/>
    <mergeCell ref="D3: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"/>
  <sheetViews>
    <sheetView workbookViewId="0">
      <selection activeCell="E86" sqref="E8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2007</v>
      </c>
      <c r="B2" t="s">
        <v>5</v>
      </c>
      <c r="C2">
        <v>78</v>
      </c>
      <c r="D2">
        <v>1</v>
      </c>
      <c r="E2">
        <v>1.28</v>
      </c>
    </row>
    <row r="3" spans="1:5" x14ac:dyDescent="0.3">
      <c r="A3">
        <v>2007</v>
      </c>
      <c r="B3" t="s">
        <v>6</v>
      </c>
      <c r="C3">
        <v>98</v>
      </c>
      <c r="D3">
        <v>8</v>
      </c>
      <c r="E3">
        <v>8.16</v>
      </c>
    </row>
    <row r="4" spans="1:5" x14ac:dyDescent="0.3">
      <c r="A4">
        <v>2007</v>
      </c>
      <c r="B4" t="s">
        <v>7</v>
      </c>
      <c r="C4">
        <v>141</v>
      </c>
      <c r="D4">
        <v>14</v>
      </c>
      <c r="E4">
        <v>9.93</v>
      </c>
    </row>
    <row r="5" spans="1:5" x14ac:dyDescent="0.3">
      <c r="A5">
        <v>2007</v>
      </c>
      <c r="B5" t="s">
        <v>8</v>
      </c>
      <c r="C5">
        <v>99</v>
      </c>
      <c r="D5">
        <v>15</v>
      </c>
      <c r="E5">
        <v>15.15</v>
      </c>
    </row>
    <row r="6" spans="1:5" x14ac:dyDescent="0.3">
      <c r="A6">
        <v>2007</v>
      </c>
      <c r="B6" t="s">
        <v>9</v>
      </c>
      <c r="C6">
        <v>100</v>
      </c>
      <c r="D6">
        <v>5</v>
      </c>
      <c r="E6">
        <v>5</v>
      </c>
    </row>
    <row r="7" spans="1:5" x14ac:dyDescent="0.3">
      <c r="A7">
        <v>2007</v>
      </c>
      <c r="B7" t="s">
        <v>10</v>
      </c>
      <c r="C7">
        <v>52</v>
      </c>
      <c r="D7">
        <v>2</v>
      </c>
      <c r="E7">
        <v>3.85</v>
      </c>
    </row>
    <row r="8" spans="1:5" x14ac:dyDescent="0.3">
      <c r="A8">
        <v>2007</v>
      </c>
      <c r="B8" t="s">
        <v>11</v>
      </c>
      <c r="C8">
        <v>35</v>
      </c>
      <c r="D8">
        <v>0</v>
      </c>
      <c r="E8">
        <v>0</v>
      </c>
    </row>
    <row r="9" spans="1:5" x14ac:dyDescent="0.3">
      <c r="A9">
        <v>2008</v>
      </c>
      <c r="B9" t="s">
        <v>5</v>
      </c>
      <c r="C9">
        <v>318</v>
      </c>
      <c r="D9">
        <v>17</v>
      </c>
      <c r="E9">
        <v>5.35</v>
      </c>
    </row>
    <row r="10" spans="1:5" x14ac:dyDescent="0.3">
      <c r="A10">
        <v>2008</v>
      </c>
      <c r="B10" t="s">
        <v>6</v>
      </c>
      <c r="C10">
        <v>594</v>
      </c>
      <c r="D10">
        <v>74</v>
      </c>
      <c r="E10">
        <v>12.46</v>
      </c>
    </row>
    <row r="11" spans="1:5" x14ac:dyDescent="0.3">
      <c r="A11">
        <v>2008</v>
      </c>
      <c r="B11" t="s">
        <v>7</v>
      </c>
      <c r="C11">
        <v>580</v>
      </c>
      <c r="D11">
        <v>78</v>
      </c>
      <c r="E11">
        <v>13.45</v>
      </c>
    </row>
    <row r="12" spans="1:5" x14ac:dyDescent="0.3">
      <c r="A12">
        <v>2008</v>
      </c>
      <c r="B12" t="s">
        <v>8</v>
      </c>
      <c r="C12">
        <v>419</v>
      </c>
      <c r="D12">
        <v>54</v>
      </c>
      <c r="E12">
        <v>12.89</v>
      </c>
    </row>
    <row r="13" spans="1:5" x14ac:dyDescent="0.3">
      <c r="A13">
        <v>2008</v>
      </c>
      <c r="B13" t="s">
        <v>9</v>
      </c>
      <c r="C13">
        <v>285</v>
      </c>
      <c r="D13">
        <v>12</v>
      </c>
      <c r="E13">
        <v>4.21</v>
      </c>
    </row>
    <row r="14" spans="1:5" x14ac:dyDescent="0.3">
      <c r="A14">
        <v>2008</v>
      </c>
      <c r="B14" t="s">
        <v>10</v>
      </c>
      <c r="C14">
        <v>111</v>
      </c>
      <c r="D14">
        <v>10</v>
      </c>
      <c r="E14">
        <v>9.01</v>
      </c>
    </row>
    <row r="15" spans="1:5" x14ac:dyDescent="0.3">
      <c r="A15">
        <v>2008</v>
      </c>
      <c r="B15" t="s">
        <v>11</v>
      </c>
      <c r="C15">
        <v>86</v>
      </c>
      <c r="D15">
        <v>2</v>
      </c>
      <c r="E15">
        <v>2.33</v>
      </c>
    </row>
    <row r="16" spans="1:5" x14ac:dyDescent="0.3">
      <c r="A16">
        <v>2009</v>
      </c>
      <c r="B16" t="s">
        <v>5</v>
      </c>
      <c r="C16">
        <v>1203</v>
      </c>
      <c r="D16">
        <v>79</v>
      </c>
      <c r="E16">
        <v>6.57</v>
      </c>
    </row>
    <row r="17" spans="1:5" x14ac:dyDescent="0.3">
      <c r="A17">
        <v>2009</v>
      </c>
      <c r="B17" t="s">
        <v>6</v>
      </c>
      <c r="C17">
        <v>1445</v>
      </c>
      <c r="D17">
        <v>156</v>
      </c>
      <c r="E17">
        <v>10.8</v>
      </c>
    </row>
    <row r="18" spans="1:5" x14ac:dyDescent="0.3">
      <c r="A18">
        <v>2009</v>
      </c>
      <c r="B18" t="s">
        <v>7</v>
      </c>
      <c r="C18">
        <v>1348</v>
      </c>
      <c r="D18">
        <v>176</v>
      </c>
      <c r="E18">
        <v>13.06</v>
      </c>
    </row>
    <row r="19" spans="1:5" x14ac:dyDescent="0.3">
      <c r="A19">
        <v>2009</v>
      </c>
      <c r="B19" t="s">
        <v>8</v>
      </c>
      <c r="C19">
        <v>817</v>
      </c>
      <c r="D19">
        <v>113</v>
      </c>
      <c r="E19">
        <v>13.83</v>
      </c>
    </row>
    <row r="20" spans="1:5" x14ac:dyDescent="0.3">
      <c r="A20">
        <v>2009</v>
      </c>
      <c r="B20" t="s">
        <v>9</v>
      </c>
      <c r="C20">
        <v>308</v>
      </c>
      <c r="D20">
        <v>51</v>
      </c>
      <c r="E20">
        <v>16.559999999999999</v>
      </c>
    </row>
    <row r="21" spans="1:5" x14ac:dyDescent="0.3">
      <c r="A21">
        <v>2009</v>
      </c>
      <c r="B21" t="s">
        <v>10</v>
      </c>
      <c r="C21">
        <v>105</v>
      </c>
      <c r="D21">
        <v>11</v>
      </c>
      <c r="E21">
        <v>10.48</v>
      </c>
    </row>
    <row r="22" spans="1:5" x14ac:dyDescent="0.3">
      <c r="A22">
        <v>2009</v>
      </c>
      <c r="B22" t="s">
        <v>11</v>
      </c>
      <c r="C22">
        <v>55</v>
      </c>
      <c r="D22">
        <v>8</v>
      </c>
      <c r="E22">
        <v>14.55</v>
      </c>
    </row>
    <row r="23" spans="1:5" x14ac:dyDescent="0.3">
      <c r="A23">
        <v>2010</v>
      </c>
      <c r="B23" t="s">
        <v>5</v>
      </c>
      <c r="C23">
        <v>2830</v>
      </c>
      <c r="D23">
        <v>133</v>
      </c>
      <c r="E23">
        <v>4.7</v>
      </c>
    </row>
    <row r="24" spans="1:5" x14ac:dyDescent="0.3">
      <c r="A24">
        <v>2010</v>
      </c>
      <c r="B24" t="s">
        <v>6</v>
      </c>
      <c r="C24">
        <v>3687</v>
      </c>
      <c r="D24">
        <v>403</v>
      </c>
      <c r="E24">
        <v>10.93</v>
      </c>
    </row>
    <row r="25" spans="1:5" x14ac:dyDescent="0.3">
      <c r="A25">
        <v>2010</v>
      </c>
      <c r="B25" t="s">
        <v>7</v>
      </c>
      <c r="C25">
        <v>2729</v>
      </c>
      <c r="D25">
        <v>365</v>
      </c>
      <c r="E25">
        <v>13.37</v>
      </c>
    </row>
    <row r="26" spans="1:5" x14ac:dyDescent="0.3">
      <c r="A26">
        <v>2010</v>
      </c>
      <c r="B26" t="s">
        <v>8</v>
      </c>
      <c r="C26">
        <v>1885</v>
      </c>
      <c r="D26">
        <v>303</v>
      </c>
      <c r="E26">
        <v>16.07</v>
      </c>
    </row>
    <row r="27" spans="1:5" x14ac:dyDescent="0.3">
      <c r="A27">
        <v>2010</v>
      </c>
      <c r="B27" t="s">
        <v>9</v>
      </c>
      <c r="C27">
        <v>962</v>
      </c>
      <c r="D27">
        <v>186</v>
      </c>
      <c r="E27">
        <v>19.329999999999998</v>
      </c>
    </row>
    <row r="28" spans="1:5" x14ac:dyDescent="0.3">
      <c r="A28">
        <v>2010</v>
      </c>
      <c r="B28" t="s">
        <v>10</v>
      </c>
      <c r="C28">
        <v>311</v>
      </c>
      <c r="D28">
        <v>72</v>
      </c>
      <c r="E28">
        <v>23.15</v>
      </c>
    </row>
    <row r="29" spans="1:5" x14ac:dyDescent="0.3">
      <c r="A29">
        <v>2010</v>
      </c>
      <c r="B29" t="s">
        <v>11</v>
      </c>
      <c r="C29">
        <v>133</v>
      </c>
      <c r="D29">
        <v>25</v>
      </c>
      <c r="E29">
        <v>18.8</v>
      </c>
    </row>
    <row r="30" spans="1:5" x14ac:dyDescent="0.3">
      <c r="A30">
        <v>2011</v>
      </c>
      <c r="B30" t="s">
        <v>5</v>
      </c>
      <c r="C30">
        <v>5754</v>
      </c>
      <c r="D30">
        <v>372</v>
      </c>
      <c r="E30">
        <v>6.47</v>
      </c>
    </row>
    <row r="31" spans="1:5" x14ac:dyDescent="0.3">
      <c r="A31">
        <v>2011</v>
      </c>
      <c r="B31" t="s">
        <v>6</v>
      </c>
      <c r="C31">
        <v>6565</v>
      </c>
      <c r="D31">
        <v>792</v>
      </c>
      <c r="E31">
        <v>12.06</v>
      </c>
    </row>
    <row r="32" spans="1:5" x14ac:dyDescent="0.3">
      <c r="A32">
        <v>2011</v>
      </c>
      <c r="B32" t="s">
        <v>7</v>
      </c>
      <c r="C32">
        <v>3942</v>
      </c>
      <c r="D32">
        <v>723</v>
      </c>
      <c r="E32">
        <v>18.34</v>
      </c>
    </row>
    <row r="33" spans="1:5" x14ac:dyDescent="0.3">
      <c r="A33">
        <v>2011</v>
      </c>
      <c r="B33" t="s">
        <v>8</v>
      </c>
      <c r="C33">
        <v>2796</v>
      </c>
      <c r="D33">
        <v>645</v>
      </c>
      <c r="E33">
        <v>23.07</v>
      </c>
    </row>
    <row r="34" spans="1:5" x14ac:dyDescent="0.3">
      <c r="A34">
        <v>2011</v>
      </c>
      <c r="B34" t="s">
        <v>9</v>
      </c>
      <c r="C34">
        <v>1739</v>
      </c>
      <c r="D34">
        <v>471</v>
      </c>
      <c r="E34">
        <v>27.08</v>
      </c>
    </row>
    <row r="35" spans="1:5" x14ac:dyDescent="0.3">
      <c r="A35">
        <v>2011</v>
      </c>
      <c r="B35" t="s">
        <v>10</v>
      </c>
      <c r="C35">
        <v>722</v>
      </c>
      <c r="D35">
        <v>228</v>
      </c>
      <c r="E35">
        <v>31.58</v>
      </c>
    </row>
    <row r="36" spans="1:5" x14ac:dyDescent="0.3">
      <c r="A36">
        <v>2011</v>
      </c>
      <c r="B36" t="s">
        <v>11</v>
      </c>
      <c r="C36">
        <v>203</v>
      </c>
      <c r="D36">
        <v>66</v>
      </c>
      <c r="E36">
        <v>32.51</v>
      </c>
    </row>
    <row r="37" spans="1:5" x14ac:dyDescent="0.3">
      <c r="A37">
        <v>2012</v>
      </c>
      <c r="B37" t="s">
        <v>5</v>
      </c>
      <c r="C37">
        <v>10901</v>
      </c>
      <c r="D37">
        <v>789</v>
      </c>
      <c r="E37">
        <v>7.24</v>
      </c>
    </row>
    <row r="38" spans="1:5" x14ac:dyDescent="0.3">
      <c r="A38">
        <v>2012</v>
      </c>
      <c r="B38" t="s">
        <v>6</v>
      </c>
      <c r="C38">
        <v>18507</v>
      </c>
      <c r="D38">
        <v>2400</v>
      </c>
      <c r="E38">
        <v>12.97</v>
      </c>
    </row>
    <row r="39" spans="1:5" x14ac:dyDescent="0.3">
      <c r="A39">
        <v>2012</v>
      </c>
      <c r="B39" t="s">
        <v>7</v>
      </c>
      <c r="C39">
        <v>11875</v>
      </c>
      <c r="D39">
        <v>2185</v>
      </c>
      <c r="E39">
        <v>18.399999999999999</v>
      </c>
    </row>
    <row r="40" spans="1:5" x14ac:dyDescent="0.3">
      <c r="A40">
        <v>2012</v>
      </c>
      <c r="B40" t="s">
        <v>8</v>
      </c>
      <c r="C40">
        <v>7323</v>
      </c>
      <c r="D40">
        <v>1719</v>
      </c>
      <c r="E40">
        <v>23.47</v>
      </c>
    </row>
    <row r="41" spans="1:5" x14ac:dyDescent="0.3">
      <c r="A41">
        <v>2012</v>
      </c>
      <c r="B41" t="s">
        <v>9</v>
      </c>
      <c r="C41">
        <v>3185</v>
      </c>
      <c r="D41">
        <v>978</v>
      </c>
      <c r="E41">
        <v>30.71</v>
      </c>
    </row>
    <row r="42" spans="1:5" x14ac:dyDescent="0.3">
      <c r="A42">
        <v>2012</v>
      </c>
      <c r="B42" t="s">
        <v>10</v>
      </c>
      <c r="C42">
        <v>1315</v>
      </c>
      <c r="D42">
        <v>465</v>
      </c>
      <c r="E42">
        <v>35.36</v>
      </c>
    </row>
    <row r="43" spans="1:5" x14ac:dyDescent="0.3">
      <c r="A43">
        <v>2012</v>
      </c>
      <c r="B43" t="s">
        <v>11</v>
      </c>
      <c r="C43">
        <v>261</v>
      </c>
      <c r="D43">
        <v>108</v>
      </c>
      <c r="E43">
        <v>41.38</v>
      </c>
    </row>
    <row r="44" spans="1:5" x14ac:dyDescent="0.3">
      <c r="A44">
        <v>2013</v>
      </c>
      <c r="B44" t="s">
        <v>5</v>
      </c>
      <c r="C44">
        <v>17679</v>
      </c>
      <c r="D44">
        <v>831</v>
      </c>
      <c r="E44">
        <v>4.7</v>
      </c>
    </row>
    <row r="45" spans="1:5" x14ac:dyDescent="0.3">
      <c r="A45">
        <v>2013</v>
      </c>
      <c r="B45" t="s">
        <v>6</v>
      </c>
      <c r="C45">
        <v>44116</v>
      </c>
      <c r="D45">
        <v>4488</v>
      </c>
      <c r="E45">
        <v>10.17</v>
      </c>
    </row>
    <row r="46" spans="1:5" x14ac:dyDescent="0.3">
      <c r="A46">
        <v>2013</v>
      </c>
      <c r="B46" t="s">
        <v>7</v>
      </c>
      <c r="C46">
        <v>38134</v>
      </c>
      <c r="D46">
        <v>6681</v>
      </c>
      <c r="E46">
        <v>17.52</v>
      </c>
    </row>
    <row r="47" spans="1:5" x14ac:dyDescent="0.3">
      <c r="A47">
        <v>2013</v>
      </c>
      <c r="B47" t="s">
        <v>8</v>
      </c>
      <c r="C47">
        <v>20569</v>
      </c>
      <c r="D47">
        <v>4598</v>
      </c>
      <c r="E47">
        <v>22.35</v>
      </c>
    </row>
    <row r="48" spans="1:5" x14ac:dyDescent="0.3">
      <c r="A48">
        <v>2013</v>
      </c>
      <c r="B48" t="s">
        <v>9</v>
      </c>
      <c r="C48">
        <v>9059</v>
      </c>
      <c r="D48">
        <v>2582</v>
      </c>
      <c r="E48">
        <v>28.5</v>
      </c>
    </row>
    <row r="49" spans="1:5" x14ac:dyDescent="0.3">
      <c r="A49">
        <v>2013</v>
      </c>
      <c r="B49" t="s">
        <v>10</v>
      </c>
      <c r="C49">
        <v>4393</v>
      </c>
      <c r="D49">
        <v>1530</v>
      </c>
      <c r="E49">
        <v>34.83</v>
      </c>
    </row>
    <row r="50" spans="1:5" x14ac:dyDescent="0.3">
      <c r="A50">
        <v>2013</v>
      </c>
      <c r="B50" t="s">
        <v>11</v>
      </c>
      <c r="C50">
        <v>864</v>
      </c>
      <c r="D50">
        <v>312</v>
      </c>
      <c r="E50">
        <v>36.11</v>
      </c>
    </row>
    <row r="51" spans="1:5" x14ac:dyDescent="0.3">
      <c r="A51">
        <v>2014</v>
      </c>
      <c r="B51" t="s">
        <v>5</v>
      </c>
      <c r="C51">
        <v>36108</v>
      </c>
      <c r="D51">
        <v>1946</v>
      </c>
      <c r="E51">
        <v>5.39</v>
      </c>
    </row>
    <row r="52" spans="1:5" x14ac:dyDescent="0.3">
      <c r="A52">
        <v>2014</v>
      </c>
      <c r="B52" t="s">
        <v>6</v>
      </c>
      <c r="C52">
        <v>61935</v>
      </c>
      <c r="D52">
        <v>6800</v>
      </c>
      <c r="E52">
        <v>10.98</v>
      </c>
    </row>
    <row r="53" spans="1:5" x14ac:dyDescent="0.3">
      <c r="A53">
        <v>2014</v>
      </c>
      <c r="B53" t="s">
        <v>7</v>
      </c>
      <c r="C53">
        <v>66565</v>
      </c>
      <c r="D53">
        <v>12168</v>
      </c>
      <c r="E53">
        <v>18.28</v>
      </c>
    </row>
    <row r="54" spans="1:5" x14ac:dyDescent="0.3">
      <c r="A54">
        <v>2014</v>
      </c>
      <c r="B54" t="s">
        <v>8</v>
      </c>
      <c r="C54">
        <v>42992</v>
      </c>
      <c r="D54">
        <v>10699</v>
      </c>
      <c r="E54">
        <v>24.89</v>
      </c>
    </row>
    <row r="55" spans="1:5" x14ac:dyDescent="0.3">
      <c r="A55">
        <v>2014</v>
      </c>
      <c r="B55" t="s">
        <v>9</v>
      </c>
      <c r="C55">
        <v>20121</v>
      </c>
      <c r="D55">
        <v>6478</v>
      </c>
      <c r="E55">
        <v>32.200000000000003</v>
      </c>
    </row>
    <row r="56" spans="1:5" x14ac:dyDescent="0.3">
      <c r="A56">
        <v>2014</v>
      </c>
      <c r="B56" t="s">
        <v>10</v>
      </c>
      <c r="C56">
        <v>6223</v>
      </c>
      <c r="D56">
        <v>2241</v>
      </c>
      <c r="E56">
        <v>36.01</v>
      </c>
    </row>
    <row r="57" spans="1:5" x14ac:dyDescent="0.3">
      <c r="A57">
        <v>2014</v>
      </c>
      <c r="B57" t="s">
        <v>11</v>
      </c>
      <c r="C57">
        <v>1685</v>
      </c>
      <c r="D57">
        <v>724</v>
      </c>
      <c r="E57">
        <v>42.97</v>
      </c>
    </row>
    <row r="58" spans="1:5" x14ac:dyDescent="0.3">
      <c r="A58">
        <v>2015</v>
      </c>
      <c r="B58" t="s">
        <v>5</v>
      </c>
      <c r="C58">
        <v>73336</v>
      </c>
      <c r="D58">
        <v>3973</v>
      </c>
      <c r="E58">
        <v>5.42</v>
      </c>
    </row>
    <row r="59" spans="1:5" x14ac:dyDescent="0.3">
      <c r="A59">
        <v>2015</v>
      </c>
      <c r="B59" t="s">
        <v>6</v>
      </c>
      <c r="C59">
        <v>117606</v>
      </c>
      <c r="D59">
        <v>13838</v>
      </c>
      <c r="E59">
        <v>11.77</v>
      </c>
    </row>
    <row r="60" spans="1:5" x14ac:dyDescent="0.3">
      <c r="A60">
        <v>2015</v>
      </c>
      <c r="B60" t="s">
        <v>7</v>
      </c>
      <c r="C60">
        <v>120567</v>
      </c>
      <c r="D60">
        <v>23298</v>
      </c>
      <c r="E60">
        <v>19.32</v>
      </c>
    </row>
    <row r="61" spans="1:5" x14ac:dyDescent="0.3">
      <c r="A61">
        <v>2015</v>
      </c>
      <c r="B61" t="s">
        <v>8</v>
      </c>
      <c r="C61">
        <v>62654</v>
      </c>
      <c r="D61">
        <v>17113</v>
      </c>
      <c r="E61">
        <v>27.31</v>
      </c>
    </row>
    <row r="62" spans="1:5" x14ac:dyDescent="0.3">
      <c r="A62">
        <v>2015</v>
      </c>
      <c r="B62" t="s">
        <v>9</v>
      </c>
      <c r="C62">
        <v>34948</v>
      </c>
      <c r="D62">
        <v>11866</v>
      </c>
      <c r="E62">
        <v>33.950000000000003</v>
      </c>
    </row>
    <row r="63" spans="1:5" x14ac:dyDescent="0.3">
      <c r="A63">
        <v>2015</v>
      </c>
      <c r="B63" t="s">
        <v>10</v>
      </c>
      <c r="C63">
        <v>9817</v>
      </c>
      <c r="D63">
        <v>4167</v>
      </c>
      <c r="E63">
        <v>42.45</v>
      </c>
    </row>
    <row r="64" spans="1:5" x14ac:dyDescent="0.3">
      <c r="A64">
        <v>2015</v>
      </c>
      <c r="B64" t="s">
        <v>11</v>
      </c>
      <c r="C64">
        <v>2167</v>
      </c>
      <c r="D64">
        <v>1020</v>
      </c>
      <c r="E64">
        <v>47.07</v>
      </c>
    </row>
    <row r="65" spans="1:5" x14ac:dyDescent="0.3">
      <c r="A65">
        <v>2016</v>
      </c>
      <c r="B65" t="s">
        <v>5</v>
      </c>
      <c r="C65">
        <v>70847</v>
      </c>
      <c r="D65">
        <v>3436</v>
      </c>
      <c r="E65">
        <v>4.8499999999999996</v>
      </c>
    </row>
    <row r="66" spans="1:5" x14ac:dyDescent="0.3">
      <c r="A66">
        <v>2016</v>
      </c>
      <c r="B66" t="s">
        <v>6</v>
      </c>
      <c r="C66">
        <v>134512</v>
      </c>
      <c r="D66">
        <v>13937</v>
      </c>
      <c r="E66">
        <v>10.36</v>
      </c>
    </row>
    <row r="67" spans="1:5" x14ac:dyDescent="0.3">
      <c r="A67">
        <v>2016</v>
      </c>
      <c r="B67" t="s">
        <v>7</v>
      </c>
      <c r="C67">
        <v>132178</v>
      </c>
      <c r="D67">
        <v>22060</v>
      </c>
      <c r="E67">
        <v>16.690000000000001</v>
      </c>
    </row>
    <row r="68" spans="1:5" x14ac:dyDescent="0.3">
      <c r="A68">
        <v>2016</v>
      </c>
      <c r="B68" t="s">
        <v>8</v>
      </c>
      <c r="C68">
        <v>59178</v>
      </c>
      <c r="D68">
        <v>14328</v>
      </c>
      <c r="E68">
        <v>24.21</v>
      </c>
    </row>
    <row r="69" spans="1:5" x14ac:dyDescent="0.3">
      <c r="A69">
        <v>2016</v>
      </c>
      <c r="B69" t="s">
        <v>9</v>
      </c>
      <c r="C69">
        <v>25807</v>
      </c>
      <c r="D69">
        <v>8057</v>
      </c>
      <c r="E69">
        <v>31.22</v>
      </c>
    </row>
    <row r="70" spans="1:5" x14ac:dyDescent="0.3">
      <c r="A70">
        <v>2016</v>
      </c>
      <c r="B70" t="s">
        <v>10</v>
      </c>
      <c r="C70">
        <v>9334</v>
      </c>
      <c r="D70">
        <v>3719</v>
      </c>
      <c r="E70">
        <v>39.840000000000003</v>
      </c>
    </row>
    <row r="71" spans="1:5" x14ac:dyDescent="0.3">
      <c r="A71">
        <v>2016</v>
      </c>
      <c r="B71" t="s">
        <v>11</v>
      </c>
      <c r="C71">
        <v>2551</v>
      </c>
      <c r="D71">
        <v>1142</v>
      </c>
      <c r="E71">
        <v>44.77</v>
      </c>
    </row>
    <row r="72" spans="1:5" x14ac:dyDescent="0.3">
      <c r="A72">
        <v>2017</v>
      </c>
      <c r="B72" t="s">
        <v>5</v>
      </c>
      <c r="C72">
        <v>78796</v>
      </c>
      <c r="D72">
        <v>1672</v>
      </c>
      <c r="E72">
        <v>2.12</v>
      </c>
    </row>
    <row r="73" spans="1:5" x14ac:dyDescent="0.3">
      <c r="A73">
        <v>2017</v>
      </c>
      <c r="B73" t="s">
        <v>6</v>
      </c>
      <c r="C73">
        <v>133127</v>
      </c>
      <c r="D73">
        <v>6785</v>
      </c>
      <c r="E73">
        <v>5.0999999999999996</v>
      </c>
    </row>
    <row r="74" spans="1:5" x14ac:dyDescent="0.3">
      <c r="A74">
        <v>2017</v>
      </c>
      <c r="B74" t="s">
        <v>7</v>
      </c>
      <c r="C74">
        <v>145144</v>
      </c>
      <c r="D74">
        <v>13395</v>
      </c>
      <c r="E74">
        <v>9.23</v>
      </c>
    </row>
    <row r="75" spans="1:5" x14ac:dyDescent="0.3">
      <c r="A75">
        <v>2017</v>
      </c>
      <c r="B75" t="s">
        <v>8</v>
      </c>
      <c r="C75">
        <v>56646</v>
      </c>
      <c r="D75">
        <v>7888</v>
      </c>
      <c r="E75">
        <v>13.93</v>
      </c>
    </row>
    <row r="76" spans="1:5" x14ac:dyDescent="0.3">
      <c r="A76">
        <v>2017</v>
      </c>
      <c r="B76" t="s">
        <v>9</v>
      </c>
      <c r="C76">
        <v>20167</v>
      </c>
      <c r="D76">
        <v>3975</v>
      </c>
      <c r="E76">
        <v>19.71</v>
      </c>
    </row>
    <row r="77" spans="1:5" x14ac:dyDescent="0.3">
      <c r="A77">
        <v>2017</v>
      </c>
      <c r="B77" t="s">
        <v>10</v>
      </c>
      <c r="C77">
        <v>6242</v>
      </c>
      <c r="D77">
        <v>1645</v>
      </c>
      <c r="E77">
        <v>26.35</v>
      </c>
    </row>
    <row r="78" spans="1:5" x14ac:dyDescent="0.3">
      <c r="A78">
        <v>2017</v>
      </c>
      <c r="B78" t="s">
        <v>11</v>
      </c>
      <c r="C78">
        <v>3457</v>
      </c>
      <c r="D78">
        <v>1029</v>
      </c>
      <c r="E78">
        <v>29.77</v>
      </c>
    </row>
    <row r="79" spans="1:5" x14ac:dyDescent="0.3">
      <c r="A79">
        <v>2018</v>
      </c>
      <c r="B79" t="s">
        <v>5</v>
      </c>
      <c r="C79">
        <v>135177</v>
      </c>
      <c r="D79">
        <v>519</v>
      </c>
      <c r="E79">
        <v>0.38</v>
      </c>
    </row>
    <row r="80" spans="1:5" x14ac:dyDescent="0.3">
      <c r="A80">
        <v>2018</v>
      </c>
      <c r="B80" t="s">
        <v>6</v>
      </c>
      <c r="C80">
        <v>141365</v>
      </c>
      <c r="D80">
        <v>1402</v>
      </c>
      <c r="E80">
        <v>0.99</v>
      </c>
    </row>
    <row r="81" spans="1:5" x14ac:dyDescent="0.3">
      <c r="A81">
        <v>2018</v>
      </c>
      <c r="B81" t="s">
        <v>7</v>
      </c>
      <c r="C81">
        <v>126850</v>
      </c>
      <c r="D81">
        <v>2128</v>
      </c>
      <c r="E81">
        <v>1.68</v>
      </c>
    </row>
    <row r="82" spans="1:5" x14ac:dyDescent="0.3">
      <c r="A82">
        <v>2018</v>
      </c>
      <c r="B82" t="s">
        <v>8</v>
      </c>
      <c r="C82">
        <v>69046</v>
      </c>
      <c r="D82">
        <v>1974</v>
      </c>
      <c r="E82">
        <v>2.86</v>
      </c>
    </row>
    <row r="83" spans="1:5" x14ac:dyDescent="0.3">
      <c r="A83">
        <v>2018</v>
      </c>
      <c r="B83" t="s">
        <v>9</v>
      </c>
      <c r="C83">
        <v>18958</v>
      </c>
      <c r="D83">
        <v>707</v>
      </c>
      <c r="E83">
        <v>3.73</v>
      </c>
    </row>
    <row r="84" spans="1:5" x14ac:dyDescent="0.3">
      <c r="A84">
        <v>2018</v>
      </c>
      <c r="B84" t="s">
        <v>10</v>
      </c>
      <c r="C84">
        <v>3175</v>
      </c>
      <c r="D84">
        <v>175</v>
      </c>
      <c r="E84">
        <v>5.51</v>
      </c>
    </row>
    <row r="85" spans="1:5" x14ac:dyDescent="0.3">
      <c r="A85">
        <v>2018</v>
      </c>
      <c r="B85" t="s">
        <v>11</v>
      </c>
      <c r="C85">
        <v>671</v>
      </c>
      <c r="D85">
        <v>46</v>
      </c>
      <c r="E85">
        <v>6.86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sqref="A1:D8"/>
    </sheetView>
  </sheetViews>
  <sheetFormatPr defaultRowHeight="14.4" x14ac:dyDescent="0.3"/>
  <sheetData>
    <row r="1" spans="1:4" x14ac:dyDescent="0.3">
      <c r="A1" t="s">
        <v>1</v>
      </c>
      <c r="B1" t="s">
        <v>2</v>
      </c>
      <c r="C1" t="s">
        <v>3</v>
      </c>
      <c r="D1" t="s">
        <v>4</v>
      </c>
    </row>
    <row r="2" spans="1:4" x14ac:dyDescent="0.3">
      <c r="A2" t="s">
        <v>5</v>
      </c>
      <c r="B2">
        <v>433027</v>
      </c>
      <c r="C2">
        <v>13768</v>
      </c>
      <c r="D2">
        <v>3.18</v>
      </c>
    </row>
    <row r="3" spans="1:4" x14ac:dyDescent="0.3">
      <c r="A3" t="s">
        <v>6</v>
      </c>
      <c r="B3">
        <v>663557</v>
      </c>
      <c r="C3">
        <v>51083</v>
      </c>
      <c r="D3">
        <v>7.7</v>
      </c>
    </row>
    <row r="4" spans="1:4" x14ac:dyDescent="0.3">
      <c r="A4" t="s">
        <v>7</v>
      </c>
      <c r="B4">
        <v>650053</v>
      </c>
      <c r="C4">
        <v>83271</v>
      </c>
      <c r="D4">
        <v>12.81</v>
      </c>
    </row>
    <row r="5" spans="1:4" x14ac:dyDescent="0.3">
      <c r="A5" t="s">
        <v>8</v>
      </c>
      <c r="B5">
        <v>324424</v>
      </c>
      <c r="C5">
        <v>59449</v>
      </c>
      <c r="D5">
        <v>18.32</v>
      </c>
    </row>
    <row r="6" spans="1:4" x14ac:dyDescent="0.3">
      <c r="A6" t="s">
        <v>9</v>
      </c>
      <c r="B6">
        <v>135639</v>
      </c>
      <c r="C6">
        <v>35368</v>
      </c>
      <c r="D6">
        <v>26.08</v>
      </c>
    </row>
    <row r="7" spans="1:4" x14ac:dyDescent="0.3">
      <c r="A7" t="s">
        <v>10</v>
      </c>
      <c r="B7">
        <v>41800</v>
      </c>
      <c r="C7">
        <v>14265</v>
      </c>
      <c r="D7">
        <v>34.130000000000003</v>
      </c>
    </row>
    <row r="8" spans="1:4" x14ac:dyDescent="0.3">
      <c r="A8" t="s">
        <v>11</v>
      </c>
      <c r="B8">
        <v>12168</v>
      </c>
      <c r="C8">
        <v>4482</v>
      </c>
      <c r="D8">
        <v>36.83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4.4" x14ac:dyDescent="0.3"/>
  <sheetData>
    <row r="1" spans="1:4" x14ac:dyDescent="0.3">
      <c r="A1" t="s">
        <v>12</v>
      </c>
      <c r="B1" t="s">
        <v>2</v>
      </c>
      <c r="C1" t="s">
        <v>3</v>
      </c>
      <c r="D1" t="s">
        <v>4</v>
      </c>
    </row>
    <row r="2" spans="1:4" x14ac:dyDescent="0.3">
      <c r="A2">
        <v>36</v>
      </c>
      <c r="B2">
        <v>1609754</v>
      </c>
      <c r="C2">
        <v>159169</v>
      </c>
      <c r="D2">
        <v>9.89</v>
      </c>
    </row>
    <row r="3" spans="1:4" x14ac:dyDescent="0.3">
      <c r="A3">
        <v>60</v>
      </c>
      <c r="B3">
        <v>650914</v>
      </c>
      <c r="C3">
        <v>102517</v>
      </c>
      <c r="D3">
        <v>15.75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>
      <selection sqref="A1:D13"/>
    </sheetView>
  </sheetViews>
  <sheetFormatPr defaultRowHeight="14.4" x14ac:dyDescent="0.3"/>
  <sheetData>
    <row r="1" spans="1:4" x14ac:dyDescent="0.3">
      <c r="A1" t="s">
        <v>0</v>
      </c>
      <c r="B1" t="s">
        <v>2</v>
      </c>
      <c r="C1" t="s">
        <v>3</v>
      </c>
      <c r="D1" t="s">
        <v>4</v>
      </c>
    </row>
    <row r="2" spans="1:4" x14ac:dyDescent="0.3">
      <c r="A2">
        <v>2007</v>
      </c>
      <c r="B2">
        <v>603</v>
      </c>
      <c r="C2">
        <v>45</v>
      </c>
      <c r="D2">
        <v>7.46</v>
      </c>
    </row>
    <row r="3" spans="1:4" x14ac:dyDescent="0.3">
      <c r="A3">
        <v>2008</v>
      </c>
      <c r="B3">
        <v>2393</v>
      </c>
      <c r="C3">
        <v>247</v>
      </c>
      <c r="D3">
        <v>10.32</v>
      </c>
    </row>
    <row r="4" spans="1:4" x14ac:dyDescent="0.3">
      <c r="A4">
        <v>2009</v>
      </c>
      <c r="B4">
        <v>5281</v>
      </c>
      <c r="C4">
        <v>594</v>
      </c>
      <c r="D4">
        <v>11.25</v>
      </c>
    </row>
    <row r="5" spans="1:4" x14ac:dyDescent="0.3">
      <c r="A5">
        <v>2010</v>
      </c>
      <c r="B5">
        <v>12537</v>
      </c>
      <c r="C5">
        <v>1487</v>
      </c>
      <c r="D5">
        <v>11.86</v>
      </c>
    </row>
    <row r="6" spans="1:4" x14ac:dyDescent="0.3">
      <c r="A6">
        <v>2011</v>
      </c>
      <c r="B6">
        <v>21721</v>
      </c>
      <c r="C6">
        <v>3297</v>
      </c>
      <c r="D6">
        <v>15.18</v>
      </c>
    </row>
    <row r="7" spans="1:4" x14ac:dyDescent="0.3">
      <c r="A7">
        <v>2012</v>
      </c>
      <c r="B7">
        <v>53367</v>
      </c>
      <c r="C7">
        <v>8644</v>
      </c>
      <c r="D7">
        <v>16.2</v>
      </c>
    </row>
    <row r="8" spans="1:4" x14ac:dyDescent="0.3">
      <c r="A8">
        <v>2013</v>
      </c>
      <c r="B8">
        <v>134814</v>
      </c>
      <c r="C8">
        <v>21022</v>
      </c>
      <c r="D8">
        <v>15.59</v>
      </c>
    </row>
    <row r="9" spans="1:4" x14ac:dyDescent="0.3">
      <c r="A9">
        <v>2014</v>
      </c>
      <c r="B9">
        <v>235629</v>
      </c>
      <c r="C9">
        <v>41056</v>
      </c>
      <c r="D9">
        <v>17.420000000000002</v>
      </c>
    </row>
    <row r="10" spans="1:4" x14ac:dyDescent="0.3">
      <c r="A10">
        <v>2015</v>
      </c>
      <c r="B10">
        <v>421095</v>
      </c>
      <c r="C10">
        <v>75275</v>
      </c>
      <c r="D10">
        <v>17.88</v>
      </c>
    </row>
    <row r="11" spans="1:4" x14ac:dyDescent="0.3">
      <c r="A11">
        <v>2016</v>
      </c>
      <c r="B11">
        <v>434407</v>
      </c>
      <c r="C11">
        <v>66679</v>
      </c>
      <c r="D11">
        <v>15.35</v>
      </c>
    </row>
    <row r="12" spans="1:4" x14ac:dyDescent="0.3">
      <c r="A12">
        <v>2017</v>
      </c>
      <c r="B12">
        <v>443579</v>
      </c>
      <c r="C12">
        <v>36389</v>
      </c>
      <c r="D12">
        <v>8.1999999999999993</v>
      </c>
    </row>
    <row r="13" spans="1:4" x14ac:dyDescent="0.3">
      <c r="A13">
        <v>2018</v>
      </c>
      <c r="B13">
        <v>495242</v>
      </c>
      <c r="C13">
        <v>6951</v>
      </c>
      <c r="D13">
        <v>1.4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D1" sqref="D1"/>
    </sheetView>
  </sheetViews>
  <sheetFormatPr defaultRowHeight="14.4" x14ac:dyDescent="0.3"/>
  <sheetData>
    <row r="1" spans="1:4" x14ac:dyDescent="0.3">
      <c r="A1" t="s">
        <v>13</v>
      </c>
      <c r="B1" t="s">
        <v>2</v>
      </c>
      <c r="C1" t="s">
        <v>3</v>
      </c>
      <c r="D1" t="s">
        <v>4</v>
      </c>
    </row>
    <row r="2" spans="1:4" x14ac:dyDescent="0.3">
      <c r="B2">
        <v>4</v>
      </c>
      <c r="C2">
        <v>0</v>
      </c>
      <c r="D2">
        <v>0</v>
      </c>
    </row>
    <row r="3" spans="1:4" x14ac:dyDescent="0.3">
      <c r="A3" t="s">
        <v>14</v>
      </c>
      <c r="B3">
        <v>546954</v>
      </c>
      <c r="C3">
        <v>60702</v>
      </c>
      <c r="D3">
        <v>11.1</v>
      </c>
    </row>
    <row r="4" spans="1:4" x14ac:dyDescent="0.3">
      <c r="A4" t="s">
        <v>15</v>
      </c>
      <c r="B4">
        <v>569037</v>
      </c>
      <c r="C4">
        <v>78017</v>
      </c>
      <c r="D4">
        <v>13.71</v>
      </c>
    </row>
    <row r="5" spans="1:4" x14ac:dyDescent="0.3">
      <c r="A5" t="s">
        <v>16</v>
      </c>
      <c r="B5">
        <v>581472</v>
      </c>
      <c r="C5">
        <v>73030</v>
      </c>
      <c r="D5">
        <v>12.56</v>
      </c>
    </row>
    <row r="6" spans="1:4" x14ac:dyDescent="0.3">
      <c r="A6" t="s">
        <v>17</v>
      </c>
      <c r="B6">
        <v>563201</v>
      </c>
      <c r="C6">
        <v>49937</v>
      </c>
      <c r="D6">
        <v>8.8699999999999992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>
      <selection activeCell="D1" sqref="D1"/>
    </sheetView>
  </sheetViews>
  <sheetFormatPr defaultRowHeight="14.4" x14ac:dyDescent="0.3"/>
  <sheetData>
    <row r="1" spans="1:4" x14ac:dyDescent="0.3">
      <c r="A1" t="s">
        <v>18</v>
      </c>
      <c r="B1" t="s">
        <v>2</v>
      </c>
      <c r="C1" t="s">
        <v>3</v>
      </c>
      <c r="D1" t="s">
        <v>4</v>
      </c>
    </row>
    <row r="2" spans="1:4" x14ac:dyDescent="0.3">
      <c r="B2">
        <v>6006</v>
      </c>
      <c r="C2">
        <v>347</v>
      </c>
      <c r="D2">
        <v>5.78</v>
      </c>
    </row>
    <row r="3" spans="1:4" x14ac:dyDescent="0.3">
      <c r="A3" t="s">
        <v>19</v>
      </c>
      <c r="B3">
        <v>682257</v>
      </c>
      <c r="C3">
        <v>91844</v>
      </c>
      <c r="D3">
        <v>13.46</v>
      </c>
    </row>
    <row r="4" spans="1:4" x14ac:dyDescent="0.3">
      <c r="A4" t="s">
        <v>20</v>
      </c>
      <c r="B4">
        <v>406902</v>
      </c>
      <c r="C4">
        <v>35346</v>
      </c>
      <c r="D4">
        <v>8.69</v>
      </c>
    </row>
    <row r="5" spans="1:4" x14ac:dyDescent="0.3">
      <c r="A5" t="s">
        <v>21</v>
      </c>
      <c r="B5">
        <v>922666</v>
      </c>
      <c r="C5">
        <v>97822</v>
      </c>
      <c r="D5">
        <v>10.6</v>
      </c>
    </row>
    <row r="6" spans="1:4" x14ac:dyDescent="0.3">
      <c r="A6" t="s">
        <v>22</v>
      </c>
      <c r="B6">
        <v>242837</v>
      </c>
      <c r="C6">
        <v>36327</v>
      </c>
      <c r="D6">
        <v>14.96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workbookViewId="0">
      <selection activeCell="E1" sqref="E1"/>
    </sheetView>
  </sheetViews>
  <sheetFormatPr defaultRowHeight="14.4" x14ac:dyDescent="0.3"/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23</v>
      </c>
    </row>
    <row r="2" spans="1:5" x14ac:dyDescent="0.3">
      <c r="A2" t="s">
        <v>5</v>
      </c>
      <c r="B2">
        <v>433027</v>
      </c>
      <c r="C2">
        <v>13768</v>
      </c>
      <c r="D2">
        <v>3.18</v>
      </c>
      <c r="E2" t="s">
        <v>24</v>
      </c>
    </row>
    <row r="3" spans="1:5" x14ac:dyDescent="0.3">
      <c r="A3" t="s">
        <v>6</v>
      </c>
      <c r="B3">
        <v>663557</v>
      </c>
      <c r="C3">
        <v>51083</v>
      </c>
      <c r="D3">
        <v>7.7</v>
      </c>
      <c r="E3" t="s">
        <v>25</v>
      </c>
    </row>
    <row r="4" spans="1:5" x14ac:dyDescent="0.3">
      <c r="A4" t="s">
        <v>7</v>
      </c>
      <c r="B4">
        <v>650053</v>
      </c>
      <c r="C4">
        <v>83271</v>
      </c>
      <c r="D4">
        <v>12.81</v>
      </c>
      <c r="E4" t="s">
        <v>26</v>
      </c>
    </row>
    <row r="5" spans="1:5" x14ac:dyDescent="0.3">
      <c r="A5" t="s">
        <v>8</v>
      </c>
      <c r="B5">
        <v>324424</v>
      </c>
      <c r="C5">
        <v>59449</v>
      </c>
      <c r="D5">
        <v>18.32</v>
      </c>
      <c r="E5" t="s">
        <v>26</v>
      </c>
    </row>
    <row r="6" spans="1:5" x14ac:dyDescent="0.3">
      <c r="A6" t="s">
        <v>9</v>
      </c>
      <c r="B6">
        <v>135639</v>
      </c>
      <c r="C6">
        <v>35368</v>
      </c>
      <c r="D6">
        <v>26.08</v>
      </c>
      <c r="E6" t="s">
        <v>27</v>
      </c>
    </row>
    <row r="7" spans="1:5" x14ac:dyDescent="0.3">
      <c r="A7" t="s">
        <v>10</v>
      </c>
      <c r="B7">
        <v>41800</v>
      </c>
      <c r="C7">
        <v>14265</v>
      </c>
      <c r="D7">
        <v>34.130000000000003</v>
      </c>
      <c r="E7" t="s">
        <v>27</v>
      </c>
    </row>
    <row r="8" spans="1:5" x14ac:dyDescent="0.3">
      <c r="A8" t="s">
        <v>11</v>
      </c>
      <c r="B8">
        <v>12168</v>
      </c>
      <c r="C8">
        <v>4482</v>
      </c>
      <c r="D8">
        <v>36.83</v>
      </c>
      <c r="E8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Vintage_Grade_Cohort</vt:lpstr>
      <vt:lpstr>Grade_Analysis</vt:lpstr>
      <vt:lpstr>Term_Analysis</vt:lpstr>
      <vt:lpstr>Vintage_Analysis</vt:lpstr>
      <vt:lpstr>Income_Analysis</vt:lpstr>
      <vt:lpstr>DTI_Analysis</vt:lpstr>
      <vt:lpstr>Risk_Tiers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Haadi Bin Sakibb</cp:lastModifiedBy>
  <dcterms:created xsi:type="dcterms:W3CDTF">2026-07-10T11:40:09Z</dcterms:created>
  <dcterms:modified xsi:type="dcterms:W3CDTF">2026-07-10T12:29:57Z</dcterms:modified>
</cp:coreProperties>
</file>